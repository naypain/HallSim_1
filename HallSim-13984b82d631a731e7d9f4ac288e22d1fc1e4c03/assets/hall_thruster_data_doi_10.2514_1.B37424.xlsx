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pain\Downloads\HallSim-13984b82d631a731e7d9f4ac288e22d1fc1e4c03\HallSim-13984b82d631a731e7d9f4ac288e22d1fc1e4c03\assets\"/>
    </mc:Choice>
  </mc:AlternateContent>
  <xr:revisionPtr revIDLastSave="0" documentId="8_{8A58BFA1-2030-4C23-8511-6EDE14BEDB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4" i="1"/>
</calcChain>
</file>

<file path=xl/sharedStrings.xml><?xml version="1.0" encoding="utf-8"?>
<sst xmlns="http://schemas.openxmlformats.org/spreadsheetml/2006/main" count="36" uniqueCount="33">
  <si>
    <t>Table 1  Collected data set for the low-power (&lt; 1.35 kW) Hall-effect thrusters</t>
  </si>
  <si>
    <t>Thruster</t>
  </si>
  <si>
    <t>P, W</t>
  </si>
  <si>
    <t>ṁ_a, mg/s</t>
  </si>
  <si>
    <t>T, mN</t>
  </si>
  <si>
    <t>I_sps,a, s</t>
  </si>
  <si>
    <t>SPT-20 [21]</t>
  </si>
  <si>
    <t>SPT-25 [22]</t>
  </si>
  <si>
    <t>N/A</t>
  </si>
  <si>
    <t>HET-100 [23]</t>
  </si>
  <si>
    <t>KHT-40 [24]</t>
  </si>
  <si>
    <t>KHT-50 [24]</t>
  </si>
  <si>
    <t>HEPS-200</t>
  </si>
  <si>
    <t>BHT-200 [25,26]</t>
  </si>
  <si>
    <t>KM-32 [27]</t>
  </si>
  <si>
    <t>SPT-50M [28]</t>
  </si>
  <si>
    <t>SPT-30 [23]</t>
  </si>
  <si>
    <t>KM-37 [29]</t>
  </si>
  <si>
    <t>CAM200 [30,31]</t>
  </si>
  <si>
    <t>SPT-50 [21]</t>
  </si>
  <si>
    <t>A-3 [21]</t>
  </si>
  <si>
    <t>HEPS-500</t>
  </si>
  <si>
    <t>BHT-600 [26,32]</t>
  </si>
  <si>
    <t>SPT-70 [33]</t>
  </si>
  <si>
    <t>SPT-100 [9,34]</t>
  </si>
  <si>
    <t>N/A, not available. Values transcribed from the table image supplied by the user; bracketed numbers are the source's reference numbers.</t>
  </si>
  <si>
    <t>U_d, V (anode voltage)</t>
  </si>
  <si>
    <t>d, mm (channel mean diameter</t>
  </si>
  <si>
    <t>h, mm (channel width)</t>
  </si>
  <si>
    <t>L, mm (channel length)</t>
  </si>
  <si>
    <t>inner radius, r_1</t>
  </si>
  <si>
    <t>outer radius, r_2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</si>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</sst>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  <font>
      <i/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/>
    <xf numFmtId="164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76" workbookViewId="0">
      <pane xSplit="1" ySplit="3" topLeftCell="B4" activePane="bottomRight" state="frozen"/>
      <selection pane="topRight"/>
      <selection pane="bottomLeft"/>
      <selection pane="bottomRight" activeCell="F30" sqref="F30"/>
    </sheetView>
  </sheetViews>
  <sheetFormatPr defaultRowHeight="14.25" x14ac:dyDescent="0.45"/>
  <cols>
    <col min="1" max="2" width="18" customWidth="1"/>
    <col min="3" max="3" width="12" customWidth="1"/>
    <col min="4" max="4" width="22.796875" bestFit="1" customWidth="1"/>
    <col min="5" max="5" width="31.265625" bestFit="1" customWidth="1"/>
    <col min="6" max="6" width="22.59765625" bestFit="1" customWidth="1"/>
    <col min="7" max="7" width="23.46484375" bestFit="1" customWidth="1"/>
    <col min="8" max="9" width="23.46484375" customWidth="1"/>
    <col min="10" max="12" width="12" customWidth="1"/>
  </cols>
  <sheetData>
    <row r="1" spans="1:12" ht="15.4" x14ac:dyDescent="0.45">
      <c r="A1" s="1" t="s">
        <v>0</v>
      </c>
      <c r="B1" s="1"/>
    </row>
    <row r="3" spans="1:12" x14ac:dyDescent="0.45">
      <c r="A3" s="2" t="s">
        <v>1</v>
      </c>
      <c r="B3" s="2" t="s">
        <v>32</v>
      </c>
      <c r="C3" s="2" t="s">
        <v>2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</v>
      </c>
      <c r="K3" s="2" t="s">
        <v>4</v>
      </c>
      <c r="L3" s="2" t="s">
        <v>5</v>
      </c>
    </row>
    <row r="4" spans="1:12" x14ac:dyDescent="0.45">
      <c r="A4" s="3" t="s">
        <v>6</v>
      </c>
      <c r="B4" s="3">
        <v>1</v>
      </c>
      <c r="C4" s="4">
        <v>52.4</v>
      </c>
      <c r="D4" s="5">
        <v>180</v>
      </c>
      <c r="E4" s="4">
        <v>15</v>
      </c>
      <c r="F4" s="4">
        <v>5</v>
      </c>
      <c r="G4" s="4">
        <v>32</v>
      </c>
      <c r="H4" s="4">
        <f>(E4-F4)/2</f>
        <v>5</v>
      </c>
      <c r="I4" s="4">
        <f>(E4+F4)/2</f>
        <v>10</v>
      </c>
      <c r="J4" s="6">
        <v>0.47</v>
      </c>
      <c r="K4" s="4">
        <v>3.9</v>
      </c>
      <c r="L4" s="5">
        <v>839</v>
      </c>
    </row>
    <row r="5" spans="1:12" x14ac:dyDescent="0.45">
      <c r="A5" s="3" t="s">
        <v>7</v>
      </c>
      <c r="B5" s="3">
        <f>B4+1</f>
        <v>2</v>
      </c>
      <c r="C5" s="4">
        <v>134</v>
      </c>
      <c r="D5" s="5">
        <v>180</v>
      </c>
      <c r="E5" s="4">
        <v>20</v>
      </c>
      <c r="F5" s="4">
        <v>5</v>
      </c>
      <c r="G5" s="7" t="s">
        <v>8</v>
      </c>
      <c r="H5" s="4">
        <f t="shared" ref="H5:H21" si="0">(E5-F5)/2</f>
        <v>7.5</v>
      </c>
      <c r="I5" s="4">
        <f t="shared" ref="I5:I21" si="1">(E5+F5)/2</f>
        <v>12.5</v>
      </c>
      <c r="J5" s="6">
        <v>0.59</v>
      </c>
      <c r="K5" s="4">
        <v>5.5</v>
      </c>
      <c r="L5" s="5">
        <v>948</v>
      </c>
    </row>
    <row r="6" spans="1:12" x14ac:dyDescent="0.45">
      <c r="A6" s="3" t="s">
        <v>9</v>
      </c>
      <c r="B6" s="3">
        <f t="shared" ref="B6:B21" si="2">B5+1</f>
        <v>3</v>
      </c>
      <c r="C6" s="4">
        <v>174</v>
      </c>
      <c r="D6" s="5">
        <v>300</v>
      </c>
      <c r="E6" s="4">
        <v>23.5</v>
      </c>
      <c r="F6" s="4">
        <v>5.5</v>
      </c>
      <c r="G6" s="4">
        <v>14.5</v>
      </c>
      <c r="H6" s="4">
        <f t="shared" si="0"/>
        <v>9</v>
      </c>
      <c r="I6" s="4">
        <f t="shared" si="1"/>
        <v>14.5</v>
      </c>
      <c r="J6" s="6">
        <v>0.5</v>
      </c>
      <c r="K6" s="4">
        <v>6.8</v>
      </c>
      <c r="L6" s="5">
        <v>1386</v>
      </c>
    </row>
    <row r="7" spans="1:12" x14ac:dyDescent="0.45">
      <c r="A7" s="3" t="s">
        <v>10</v>
      </c>
      <c r="B7" s="3">
        <f t="shared" si="2"/>
        <v>4</v>
      </c>
      <c r="C7" s="4">
        <v>187</v>
      </c>
      <c r="D7" s="5">
        <v>325</v>
      </c>
      <c r="E7" s="4">
        <v>31</v>
      </c>
      <c r="F7" s="4">
        <v>9</v>
      </c>
      <c r="G7" s="4">
        <v>25.5</v>
      </c>
      <c r="H7" s="4">
        <f t="shared" si="0"/>
        <v>11</v>
      </c>
      <c r="I7" s="4">
        <f t="shared" si="1"/>
        <v>20</v>
      </c>
      <c r="J7" s="6">
        <v>0.69</v>
      </c>
      <c r="K7" s="4">
        <v>10.3</v>
      </c>
      <c r="L7" s="5">
        <v>1519</v>
      </c>
    </row>
    <row r="8" spans="1:12" x14ac:dyDescent="0.45">
      <c r="A8" s="3" t="s">
        <v>11</v>
      </c>
      <c r="B8" s="3">
        <f t="shared" si="2"/>
        <v>5</v>
      </c>
      <c r="C8" s="4">
        <v>193</v>
      </c>
      <c r="D8" s="5">
        <v>250</v>
      </c>
      <c r="E8" s="4">
        <v>42</v>
      </c>
      <c r="F8" s="4">
        <v>8</v>
      </c>
      <c r="G8" s="4">
        <v>25</v>
      </c>
      <c r="H8" s="4">
        <f t="shared" si="0"/>
        <v>17</v>
      </c>
      <c r="I8" s="4">
        <f t="shared" si="1"/>
        <v>25</v>
      </c>
      <c r="J8" s="6">
        <v>0.88</v>
      </c>
      <c r="K8" s="4">
        <v>11.6</v>
      </c>
      <c r="L8" s="5">
        <v>1339</v>
      </c>
    </row>
    <row r="9" spans="1:12" x14ac:dyDescent="0.45">
      <c r="A9" s="3" t="s">
        <v>12</v>
      </c>
      <c r="B9" s="3">
        <f t="shared" si="2"/>
        <v>6</v>
      </c>
      <c r="C9" s="4">
        <v>195</v>
      </c>
      <c r="D9" s="5">
        <v>250</v>
      </c>
      <c r="E9" s="4">
        <v>42.5</v>
      </c>
      <c r="F9" s="4">
        <v>8.5</v>
      </c>
      <c r="G9" s="4">
        <v>25</v>
      </c>
      <c r="H9" s="4">
        <f t="shared" si="0"/>
        <v>17</v>
      </c>
      <c r="I9" s="4">
        <f t="shared" si="1"/>
        <v>25.5</v>
      </c>
      <c r="J9" s="6">
        <v>0.88</v>
      </c>
      <c r="K9" s="4">
        <v>11.2</v>
      </c>
      <c r="L9" s="5">
        <v>1300</v>
      </c>
    </row>
    <row r="10" spans="1:12" x14ac:dyDescent="0.45">
      <c r="A10" s="3" t="s">
        <v>13</v>
      </c>
      <c r="B10" s="3">
        <f t="shared" si="2"/>
        <v>7</v>
      </c>
      <c r="C10" s="4">
        <v>200</v>
      </c>
      <c r="D10" s="5">
        <v>250</v>
      </c>
      <c r="E10" s="4">
        <v>21</v>
      </c>
      <c r="F10" s="4">
        <v>5.6</v>
      </c>
      <c r="G10" s="7" t="s">
        <v>8</v>
      </c>
      <c r="H10" s="4">
        <f t="shared" si="0"/>
        <v>7.7</v>
      </c>
      <c r="I10" s="4">
        <f t="shared" si="1"/>
        <v>13.3</v>
      </c>
      <c r="J10" s="6">
        <v>0.94</v>
      </c>
      <c r="K10" s="4">
        <v>12.8</v>
      </c>
      <c r="L10" s="5">
        <v>1390</v>
      </c>
    </row>
    <row r="11" spans="1:12" x14ac:dyDescent="0.45">
      <c r="A11" s="3" t="s">
        <v>14</v>
      </c>
      <c r="B11" s="3">
        <f t="shared" si="2"/>
        <v>8</v>
      </c>
      <c r="C11" s="4">
        <v>215</v>
      </c>
      <c r="D11" s="5">
        <v>250</v>
      </c>
      <c r="E11" s="4">
        <v>32</v>
      </c>
      <c r="F11" s="4">
        <v>7</v>
      </c>
      <c r="G11" s="4">
        <v>16</v>
      </c>
      <c r="H11" s="4">
        <f t="shared" si="0"/>
        <v>12.5</v>
      </c>
      <c r="I11" s="4">
        <f t="shared" si="1"/>
        <v>19.5</v>
      </c>
      <c r="J11" s="6">
        <v>1</v>
      </c>
      <c r="K11" s="4">
        <v>12.2</v>
      </c>
      <c r="L11" s="5">
        <v>1244</v>
      </c>
    </row>
    <row r="12" spans="1:12" x14ac:dyDescent="0.45">
      <c r="A12" s="3" t="s">
        <v>15</v>
      </c>
      <c r="B12" s="3">
        <f t="shared" si="2"/>
        <v>9</v>
      </c>
      <c r="C12" s="4">
        <v>245</v>
      </c>
      <c r="D12" s="5">
        <v>200</v>
      </c>
      <c r="E12" s="4">
        <v>39</v>
      </c>
      <c r="F12" s="4">
        <v>11</v>
      </c>
      <c r="G12" s="4">
        <v>25</v>
      </c>
      <c r="H12" s="4">
        <f t="shared" si="0"/>
        <v>14</v>
      </c>
      <c r="I12" s="4">
        <f t="shared" si="1"/>
        <v>25</v>
      </c>
      <c r="J12" s="6">
        <v>1.5</v>
      </c>
      <c r="K12" s="4">
        <v>16</v>
      </c>
      <c r="L12" s="5">
        <v>1088</v>
      </c>
    </row>
    <row r="13" spans="1:12" x14ac:dyDescent="0.45">
      <c r="A13" s="3" t="s">
        <v>16</v>
      </c>
      <c r="B13" s="3">
        <f t="shared" si="2"/>
        <v>10</v>
      </c>
      <c r="C13" s="4">
        <v>258</v>
      </c>
      <c r="D13" s="5">
        <v>250</v>
      </c>
      <c r="E13" s="4">
        <v>24</v>
      </c>
      <c r="F13" s="4">
        <v>6</v>
      </c>
      <c r="G13" s="4">
        <v>11</v>
      </c>
      <c r="H13" s="4">
        <f t="shared" si="0"/>
        <v>9</v>
      </c>
      <c r="I13" s="4">
        <f t="shared" si="1"/>
        <v>15</v>
      </c>
      <c r="J13" s="6">
        <v>0.98</v>
      </c>
      <c r="K13" s="4">
        <v>13.2</v>
      </c>
      <c r="L13" s="5">
        <v>1234</v>
      </c>
    </row>
    <row r="14" spans="1:12" x14ac:dyDescent="0.45">
      <c r="A14" s="3" t="s">
        <v>17</v>
      </c>
      <c r="B14" s="3">
        <f t="shared" si="2"/>
        <v>11</v>
      </c>
      <c r="C14" s="4">
        <v>283</v>
      </c>
      <c r="D14" s="5">
        <v>292</v>
      </c>
      <c r="E14" s="4">
        <v>37</v>
      </c>
      <c r="F14" s="4">
        <v>9</v>
      </c>
      <c r="G14" s="4">
        <v>17.5</v>
      </c>
      <c r="H14" s="4">
        <f t="shared" si="0"/>
        <v>14</v>
      </c>
      <c r="I14" s="4">
        <f t="shared" si="1"/>
        <v>23</v>
      </c>
      <c r="J14" s="6">
        <v>1.1499999999999999</v>
      </c>
      <c r="K14" s="4">
        <v>18.5</v>
      </c>
      <c r="L14" s="5">
        <v>1640</v>
      </c>
    </row>
    <row r="15" spans="1:12" x14ac:dyDescent="0.45">
      <c r="A15" s="3" t="s">
        <v>18</v>
      </c>
      <c r="B15" s="3">
        <f t="shared" si="2"/>
        <v>12</v>
      </c>
      <c r="C15" s="4">
        <v>304</v>
      </c>
      <c r="D15" s="5">
        <v>275</v>
      </c>
      <c r="E15" s="4">
        <v>43</v>
      </c>
      <c r="F15" s="4">
        <v>12</v>
      </c>
      <c r="G15" s="7" t="s">
        <v>8</v>
      </c>
      <c r="H15" s="4">
        <f t="shared" si="0"/>
        <v>15.5</v>
      </c>
      <c r="I15" s="4">
        <f t="shared" si="1"/>
        <v>27.5</v>
      </c>
      <c r="J15" s="6">
        <v>1.0900000000000001</v>
      </c>
      <c r="K15" s="4">
        <v>17.3</v>
      </c>
      <c r="L15" s="5">
        <v>1587</v>
      </c>
    </row>
    <row r="16" spans="1:12" x14ac:dyDescent="0.45">
      <c r="A16" s="3" t="s">
        <v>19</v>
      </c>
      <c r="B16" s="3">
        <f t="shared" si="2"/>
        <v>13</v>
      </c>
      <c r="C16" s="4">
        <v>317</v>
      </c>
      <c r="D16" s="5">
        <v>300</v>
      </c>
      <c r="E16" s="4">
        <v>39</v>
      </c>
      <c r="F16" s="4">
        <v>11</v>
      </c>
      <c r="G16" s="4">
        <v>25</v>
      </c>
      <c r="H16" s="4">
        <f t="shared" si="0"/>
        <v>14</v>
      </c>
      <c r="I16" s="4">
        <f t="shared" si="1"/>
        <v>25</v>
      </c>
      <c r="J16" s="6">
        <v>1.18</v>
      </c>
      <c r="K16" s="4">
        <v>17.5</v>
      </c>
      <c r="L16" s="5">
        <v>1746</v>
      </c>
    </row>
    <row r="17" spans="1:12" x14ac:dyDescent="0.45">
      <c r="A17" s="3" t="s">
        <v>20</v>
      </c>
      <c r="B17" s="3">
        <f t="shared" si="2"/>
        <v>14</v>
      </c>
      <c r="C17" s="4">
        <v>324</v>
      </c>
      <c r="D17" s="5">
        <v>300</v>
      </c>
      <c r="E17" s="4">
        <v>47</v>
      </c>
      <c r="F17" s="4">
        <v>13</v>
      </c>
      <c r="G17" s="4">
        <v>30</v>
      </c>
      <c r="H17" s="4">
        <f t="shared" si="0"/>
        <v>17</v>
      </c>
      <c r="I17" s="4">
        <f t="shared" si="1"/>
        <v>30</v>
      </c>
      <c r="J17" s="6">
        <v>1.18</v>
      </c>
      <c r="K17" s="4">
        <v>18</v>
      </c>
      <c r="L17" s="5">
        <v>1821</v>
      </c>
    </row>
    <row r="18" spans="1:12" x14ac:dyDescent="0.45">
      <c r="A18" s="3" t="s">
        <v>21</v>
      </c>
      <c r="B18" s="3">
        <f t="shared" si="2"/>
        <v>15</v>
      </c>
      <c r="C18" s="4">
        <v>482</v>
      </c>
      <c r="D18" s="5">
        <v>300</v>
      </c>
      <c r="E18" s="4">
        <v>49.5</v>
      </c>
      <c r="F18" s="4">
        <v>15.5</v>
      </c>
      <c r="G18" s="4">
        <v>25</v>
      </c>
      <c r="H18" s="4">
        <f t="shared" si="0"/>
        <v>17</v>
      </c>
      <c r="I18" s="4">
        <f t="shared" si="1"/>
        <v>32.5</v>
      </c>
      <c r="J18" s="6">
        <v>1.67</v>
      </c>
      <c r="K18" s="4">
        <v>25.9</v>
      </c>
      <c r="L18" s="5">
        <v>1587</v>
      </c>
    </row>
    <row r="19" spans="1:12" x14ac:dyDescent="0.45">
      <c r="A19" s="3" t="s">
        <v>22</v>
      </c>
      <c r="B19" s="3">
        <f t="shared" si="2"/>
        <v>16</v>
      </c>
      <c r="C19" s="4">
        <v>615</v>
      </c>
      <c r="D19" s="5">
        <v>300</v>
      </c>
      <c r="E19" s="4">
        <v>56</v>
      </c>
      <c r="F19" s="4">
        <v>16</v>
      </c>
      <c r="G19" s="7" t="s">
        <v>8</v>
      </c>
      <c r="H19" s="4">
        <f t="shared" si="0"/>
        <v>20</v>
      </c>
      <c r="I19" s="4">
        <f t="shared" si="1"/>
        <v>36</v>
      </c>
      <c r="J19" s="6">
        <v>2.6</v>
      </c>
      <c r="K19" s="4">
        <v>39.1</v>
      </c>
      <c r="L19" s="5">
        <v>1530</v>
      </c>
    </row>
    <row r="20" spans="1:12" x14ac:dyDescent="0.45">
      <c r="A20" s="3" t="s">
        <v>23</v>
      </c>
      <c r="B20" s="3">
        <f t="shared" si="2"/>
        <v>17</v>
      </c>
      <c r="C20" s="4">
        <v>660</v>
      </c>
      <c r="D20" s="5">
        <v>300</v>
      </c>
      <c r="E20" s="4">
        <v>56</v>
      </c>
      <c r="F20" s="4">
        <v>14</v>
      </c>
      <c r="G20" s="4">
        <v>25</v>
      </c>
      <c r="H20" s="4">
        <f t="shared" si="0"/>
        <v>21</v>
      </c>
      <c r="I20" s="4">
        <f t="shared" si="1"/>
        <v>35</v>
      </c>
      <c r="J20" s="6">
        <v>2.56</v>
      </c>
      <c r="K20" s="4">
        <v>40</v>
      </c>
      <c r="L20" s="5">
        <v>1593</v>
      </c>
    </row>
    <row r="21" spans="1:12" ht="14.65" thickBot="1" x14ac:dyDescent="0.5">
      <c r="A21" s="8" t="s">
        <v>24</v>
      </c>
      <c r="B21" s="3">
        <f t="shared" si="2"/>
        <v>18</v>
      </c>
      <c r="C21" s="9">
        <v>1350</v>
      </c>
      <c r="D21" s="10">
        <v>300</v>
      </c>
      <c r="E21" s="9">
        <v>85</v>
      </c>
      <c r="F21" s="9">
        <v>15</v>
      </c>
      <c r="G21" s="9">
        <v>25</v>
      </c>
      <c r="H21" s="4">
        <f t="shared" si="0"/>
        <v>35</v>
      </c>
      <c r="I21" s="4">
        <f t="shared" si="1"/>
        <v>50</v>
      </c>
      <c r="J21" s="11">
        <v>5.14</v>
      </c>
      <c r="K21" s="9">
        <v>81.599999999999994</v>
      </c>
      <c r="L21" s="10">
        <v>1540</v>
      </c>
    </row>
    <row r="23" spans="1:12" x14ac:dyDescent="0.45">
      <c r="A23" s="12" t="s">
        <v>25</v>
      </c>
      <c r="B2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Naomi Paine</cp:lastModifiedBy>
  <dcterms:created xsi:type="dcterms:W3CDTF">2026-09-19T12:21:20Z</dcterms:created>
  <dcterms:modified xsi:type="dcterms:W3CDTF">2026-09-23T01:29:49Z</dcterms:modified>
</cp:coreProperties>
</file>